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1" sheetId="1" state="visible" r:id="rId1"/>
    <sheet xmlns:r="http://schemas.openxmlformats.org/officeDocument/2006/relationships" name="Module 2" sheetId="2" state="visible" r:id="rId2"/>
    <sheet xmlns:r="http://schemas.openxmlformats.org/officeDocument/2006/relationships" name="Module 3" sheetId="3" state="visible" r:id="rId3"/>
    <sheet xmlns:r="http://schemas.openxmlformats.org/officeDocument/2006/relationships" name="TEST REPORT" sheetId="4" state="visible" r:id="rId4"/>
  </sheets>
  <definedNames>
    <definedName name="_xlnm._FilterDatabase" localSheetId="0" hidden="1">'Module 1'!$A$10:$F$30</definedName>
    <definedName name="_xlnm._FilterDatabase" localSheetId="1" hidden="1">'Module 2'!$A$10:$F$30</definedName>
    <definedName name="_xlnm._FilterDatabase" localSheetId="2" hidden="1">'Module 3'!$A$10:$F$30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ahoma"/>
      <b val="1"/>
      <color rgb="00003366"/>
      <sz val="14"/>
    </font>
    <font>
      <name val="Tahoma"/>
      <b val="1"/>
      <color rgb="001F497D"/>
      <sz val="9.5"/>
    </font>
    <font>
      <name val="Tahoma"/>
      <color rgb="00000000"/>
      <sz val="9.5"/>
    </font>
    <font>
      <name val="Tahoma"/>
      <b val="1"/>
      <color rgb="00006100"/>
      <sz val="9.5"/>
    </font>
    <font>
      <name val="Tahoma"/>
      <b val="1"/>
      <color rgb="009C6500"/>
      <sz val="9.5"/>
    </font>
    <font>
      <name val="Tahoma"/>
      <b val="1"/>
      <color rgb="009C0006"/>
      <sz val="9.5"/>
    </font>
    <font>
      <name val="Tahoma"/>
      <b val="1"/>
      <color rgb="00002060"/>
      <sz val="9.5"/>
    </font>
    <font>
      <name val="Tahoma"/>
      <b val="1"/>
      <color rgb="00FFFFFF"/>
      <sz val="10"/>
    </font>
    <font>
      <name val="Tahoma"/>
      <b val="1"/>
      <color rgb="00000000"/>
      <sz val="9"/>
    </font>
    <font>
      <name val="Tahoma"/>
      <color rgb="00000000"/>
      <sz val="9"/>
    </font>
    <font>
      <name val="Tahoma"/>
      <color rgb="00333333"/>
      <sz val="9"/>
    </font>
    <font>
      <name val="Tahoma"/>
      <b val="1"/>
      <color rgb="00003366"/>
      <sz val="18"/>
    </font>
  </fonts>
  <fills count="10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003366"/>
        <bgColor rgb="00003366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5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002040"/>
      </left>
      <right style="thin">
        <color rgb="00002040"/>
      </right>
      <top style="thin">
        <color rgb="00002040"/>
      </top>
      <bottom style="thin">
        <color rgb="0000204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3366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8" borderId="3" applyAlignment="1" pivotButton="0" quotePrefix="0" xfId="0">
      <alignment horizontal="center" vertical="top" wrapText="1"/>
    </xf>
    <xf numFmtId="0" fontId="10" fillId="8" borderId="3" applyAlignment="1" pivotButton="0" quotePrefix="0" xfId="0">
      <alignment horizontal="left" vertical="top" wrapText="1"/>
    </xf>
    <xf numFmtId="0" fontId="11" fillId="8" borderId="3" applyAlignment="1" pivotButton="0" quotePrefix="0" xfId="0">
      <alignment horizontal="center" vertical="top" wrapText="1"/>
    </xf>
    <xf numFmtId="0" fontId="4" fillId="3" borderId="3" applyAlignment="1" pivotButton="0" quotePrefix="0" xfId="0">
      <alignment horizontal="center" vertical="top" wrapText="1"/>
    </xf>
    <xf numFmtId="0" fontId="9" fillId="9" borderId="3" applyAlignment="1" pivotButton="0" quotePrefix="0" xfId="0">
      <alignment horizontal="center" vertical="top" wrapText="1"/>
    </xf>
    <xf numFmtId="0" fontId="10" fillId="9" borderId="3" applyAlignment="1" pivotButton="0" quotePrefix="0" xfId="0">
      <alignment horizontal="left" vertical="top" wrapText="1"/>
    </xf>
    <xf numFmtId="0" fontId="11" fillId="9" borderId="3" applyAlignment="1" pivotButton="0" quotePrefix="0" xfId="0">
      <alignment horizontal="center" vertical="top" wrapText="1"/>
    </xf>
    <xf numFmtId="0" fontId="5" fillId="4" borderId="3" applyAlignment="1" pivotButton="0" quotePrefix="0" xfId="0">
      <alignment horizontal="center" vertical="top" wrapText="1"/>
    </xf>
    <xf numFmtId="0" fontId="6" fillId="5" borderId="3" applyAlignment="1" pivotButton="0" quotePrefix="0" xfId="0">
      <alignment horizontal="center" vertical="top" wrapText="1"/>
    </xf>
    <xf numFmtId="0" fontId="1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9" fillId="8" borderId="3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9" fillId="9" borderId="3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0" fillId="2" borderId="3" pivotButton="0" quotePrefix="0" xfId="0"/>
    <xf numFmtId="0" fontId="4" fillId="3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2" borderId="3" applyAlignment="1" pivotButton="0" quotePrefix="0" xfId="0">
      <alignment horizontal="left" vertical="top" wrapText="1"/>
    </xf>
    <xf numFmtId="2" fontId="9" fillId="2" borderId="3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10" fontId="9" fillId="2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0" customWidth="1" min="3" max="3"/>
    <col width="15" customWidth="1" min="4" max="4"/>
    <col width="14" customWidth="1" min="5" max="5"/>
    <col width="36" customWidth="1" min="6" max="6"/>
  </cols>
  <sheetData>
    <row r="1" ht="28" customHeight="1">
      <c r="A1" s="1" t="inlineStr">
        <is>
          <t>TEST CASE</t>
        </is>
      </c>
    </row>
    <row r="3">
      <c r="A3" s="2" t="inlineStr">
        <is>
          <t>System Name:</t>
        </is>
      </c>
      <c r="B3" s="3" t="inlineStr">
        <is>
          <t>VoiceBridge AI - Multilingual Citizen Welfare Scheme Portal</t>
        </is>
      </c>
      <c r="C3" s="4" t="n"/>
      <c r="D3" s="4" t="n"/>
      <c r="E3" s="4" t="n"/>
      <c r="F3" s="4" t="n"/>
    </row>
    <row r="4">
      <c r="A4" s="2" t="inlineStr">
        <is>
          <t>Module Code:</t>
        </is>
      </c>
      <c r="B4" s="3" t="inlineStr">
        <is>
          <t>MOD-01: User Authentication &amp; Citizen Profile Management</t>
        </is>
      </c>
      <c r="C4" s="4" t="n"/>
      <c r="D4" s="4" t="n"/>
      <c r="E4" s="4" t="n"/>
      <c r="F4" s="4" t="n"/>
    </row>
    <row r="5">
      <c r="A5" s="2" t="inlineStr">
        <is>
          <t>Test requirement:</t>
        </is>
      </c>
      <c r="B5" s="3" t="inlineStr">
        <is>
          <t>Verify citizen registration (5 mandatory fields), Supabase authentication, session handling, 8-field profile completion, dynamic age calculation from DOB, boundary validation, and localization.</t>
        </is>
      </c>
      <c r="C5" s="4" t="n"/>
      <c r="D5" s="4" t="n"/>
      <c r="E5" s="4" t="n"/>
      <c r="F5" s="4" t="n"/>
    </row>
    <row r="6" ht="22" customHeight="1">
      <c r="A6" s="5" t="inlineStr">
        <is>
          <t>Pass</t>
        </is>
      </c>
      <c r="B6" s="6">
        <f>COUNTIF(E11:E30, "Pass")</f>
        <v/>
      </c>
      <c r="C6" s="5" t="inlineStr">
        <is>
          <t>Pending</t>
        </is>
      </c>
      <c r="D6" s="7">
        <f>COUNTIF(E11:E30, "Pending")</f>
        <v/>
      </c>
      <c r="E6" s="4" t="n"/>
      <c r="F6" s="4" t="n"/>
    </row>
    <row r="7" ht="22" customHeight="1">
      <c r="A7" s="5" t="inlineStr">
        <is>
          <t>Fail</t>
        </is>
      </c>
      <c r="B7" s="8">
        <f>COUNTIF(E11:E30, "Fail")</f>
        <v/>
      </c>
      <c r="C7" s="5" t="inlineStr">
        <is>
          <t>Number of test cases:</t>
        </is>
      </c>
      <c r="D7" s="9">
        <f>COUNTA(A11:A30)</f>
        <v/>
      </c>
      <c r="E7" s="4" t="n"/>
      <c r="F7" s="4" t="n"/>
    </row>
    <row r="8" ht="10" customHeight="1"/>
    <row r="9" ht="10" customHeight="1"/>
    <row r="10" ht="30" customHeight="1">
      <c r="A10" s="10" t="inlineStr">
        <is>
          <t>ID</t>
        </is>
      </c>
      <c r="B10" s="10" t="inlineStr">
        <is>
          <t>Test Case Description</t>
        </is>
      </c>
      <c r="C10" s="10" t="inlineStr">
        <is>
          <t>Expected Output</t>
        </is>
      </c>
      <c r="D10" s="10" t="inlineStr">
        <is>
          <t>Test Date</t>
        </is>
      </c>
      <c r="E10" s="10" t="inlineStr">
        <is>
          <t>Result</t>
        </is>
      </c>
      <c r="F10" s="10" t="inlineStr">
        <is>
          <t>Note</t>
        </is>
      </c>
    </row>
    <row r="11" ht="64" customHeight="1">
      <c r="A11" s="11" t="inlineStr">
        <is>
          <t>TC-M1-01</t>
        </is>
      </c>
      <c r="B11" s="12" t="inlineStr">
        <is>
          <t>Verify citizen registration with all 5 mandatory fields.
Procedure:
1. Navigate to /signup page.
2. Enter Full Name: 'Rahul Sharma', Mobile: '9876543210', Email: 'rahul.sharma@example.com'.
3. Enter Password: 'SecurePass123' and Confirm Password: 'SecurePass123'.
4. Click 'Create Account'.</t>
        </is>
      </c>
      <c r="C11" s="12" t="inlineStr">
        <is>
          <t>Registration succeeds; Supabase Auth creates user record; initial profile row inserted into profiles table; success toast notification displayed; user redirected to dashboard.</t>
        </is>
      </c>
      <c r="D11" s="13" t="inlineStr">
        <is>
          <t>2026-10-13</t>
        </is>
      </c>
      <c r="E11" s="14" t="inlineStr">
        <is>
          <t>Pass</t>
        </is>
      </c>
      <c r="F11" s="12" t="inlineStr">
        <is>
          <t>Positive test; Section 3A 5-field registration verified.</t>
        </is>
      </c>
    </row>
    <row r="12" ht="64" customHeight="1">
      <c r="A12" s="15" t="inlineStr">
        <is>
          <t>TC-M1-02</t>
        </is>
      </c>
      <c r="B12" s="16" t="inlineStr">
        <is>
          <t>Verify registration form validation rejects mobile numbers with fewer than 10 digits.
Procedure:
1. On /signup, enter Name: 'Priya Patil', Mobile: '987654321' (9 digits), valid email, matching passwords.
2. Click 'Create Account'.</t>
        </is>
      </c>
      <c r="C12" s="16" t="inlineStr">
        <is>
          <t>Form submission blocked; validation error 'Please enter a valid 10-digit mobile number' displayed below mobile input; no API request dispatched to Supabase Auth.</t>
        </is>
      </c>
      <c r="D12" s="17" t="inlineStr">
        <is>
          <t>2026-10-13</t>
        </is>
      </c>
      <c r="E12" s="14" t="inlineStr">
        <is>
          <t>Pass</t>
        </is>
      </c>
      <c r="F12" s="16" t="inlineStr">
        <is>
          <t>Negative input validation; 10-digit mobile regex check.</t>
        </is>
      </c>
    </row>
    <row r="13" ht="64" customHeight="1">
      <c r="A13" s="11" t="inlineStr">
        <is>
          <t>TC-M1-03</t>
        </is>
      </c>
      <c r="B13" s="12" t="inlineStr">
        <is>
          <t>Verify registration validation rejects malformed email formats.
Procedure:
1. On /signup, enter valid Name and Mobile.
2. Enter invalid email 'amit.kumar@domain' (missing top-level domain).
3. Enter matching passwords and submit.</t>
        </is>
      </c>
      <c r="C13" s="12" t="inlineStr">
        <is>
          <t>Form validation catches RFC 5322 regex failure; error message 'Please enter a valid email address' displayed; submission aborted.</t>
        </is>
      </c>
      <c r="D13" s="13" t="inlineStr">
        <is>
          <t>2026-10-13</t>
        </is>
      </c>
      <c r="E13" s="14" t="inlineStr">
        <is>
          <t>Pass</t>
        </is>
      </c>
      <c r="F13" s="12" t="inlineStr">
        <is>
          <t>Negative test; email format regex validation.</t>
        </is>
      </c>
    </row>
    <row r="14" ht="64" customHeight="1">
      <c r="A14" s="15" t="inlineStr">
        <is>
          <t>TC-M1-04</t>
        </is>
      </c>
      <c r="B14" s="16" t="inlineStr">
        <is>
          <t>Verify registration enforces minimum password length of 6 characters.
Procedure:
1. On /signup, fill valid Name, Mobile, and Email.
2. Enter Password: '12345' (5 characters) and Confirm Password: '12345'.
3. Click 'Create Account'.</t>
        </is>
      </c>
      <c r="C14" s="16" t="inlineStr">
        <is>
          <t>Submission fails with validation error 'Password must be at least 6 characters long'; password field highlighted in red; form submission blocked.</t>
        </is>
      </c>
      <c r="D14" s="17" t="inlineStr">
        <is>
          <t>2026-10-13</t>
        </is>
      </c>
      <c r="E14" s="14" t="inlineStr">
        <is>
          <t>Pass</t>
        </is>
      </c>
      <c r="F14" s="16" t="inlineStr">
        <is>
          <t>Boundary / security test; minimum password length.</t>
        </is>
      </c>
    </row>
    <row r="15" ht="64" customHeight="1">
      <c r="A15" s="11" t="inlineStr">
        <is>
          <t>TC-M1-05</t>
        </is>
      </c>
      <c r="B15" s="12" t="inlineStr">
        <is>
          <t>Verify registration rejects mismatched Password and Confirm Password entries.
Procedure:
1. Fill valid Name, Mobile, and Email.
2. Enter Password: 'Pass@123' and Confirm Password: 'Pass@456'.
3. Click 'Create Account'.</t>
        </is>
      </c>
      <c r="C15" s="12" t="inlineStr">
        <is>
          <t>Validation error 'Passwords do not match' displayed; submission blocked; no network call to Supabase.</t>
        </is>
      </c>
      <c r="D15" s="13" t="inlineStr">
        <is>
          <t>2026-10-13</t>
        </is>
      </c>
      <c r="E15" s="14" t="inlineStr">
        <is>
          <t>Pass</t>
        </is>
      </c>
      <c r="F15" s="12" t="inlineStr">
        <is>
          <t>Negative test; password confirmation integrity.</t>
        </is>
      </c>
    </row>
    <row r="16" ht="64" customHeight="1">
      <c r="A16" s="15" t="inlineStr">
        <is>
          <t>TC-M1-06</t>
        </is>
      </c>
      <c r="B16" s="16" t="inlineStr">
        <is>
          <t>Verify system prevents duplicate account creation with an already-registered email.
Procedure:
1. On /signup, fill registration form with existing email 'rahul.sharma@example.com'.
2. Provide unique mobile and valid password.
3. Submit form.</t>
        </is>
      </c>
      <c r="C16" s="16" t="inlineStr">
        <is>
          <t>Supabase Auth returns duplicate user error; UI displays user-friendly alert 'An account with this email already exists. Please log in instead.'; no duplicate record created.</t>
        </is>
      </c>
      <c r="D16" s="17" t="inlineStr">
        <is>
          <t>2026-10-13</t>
        </is>
      </c>
      <c r="E16" s="14" t="inlineStr">
        <is>
          <t>Pass</t>
        </is>
      </c>
      <c r="F16" s="16" t="inlineStr">
        <is>
          <t>Security &amp; data integrity; unique email constraint.</t>
        </is>
      </c>
    </row>
    <row r="17" ht="64" customHeight="1">
      <c r="A17" s="11" t="inlineStr">
        <is>
          <t>TC-M1-07</t>
        </is>
      </c>
      <c r="B17" s="12" t="inlineStr">
        <is>
          <t>Verify registered citizen can log in successfully with valid credentials.
Procedure:
1. Navigate to /login.
2. Enter Email: 'testuser@voicebridge.in' and Password: 'Voice@2026'.
3. Click 'Sign In'.</t>
        </is>
      </c>
      <c r="C17" s="12" t="inlineStr">
        <is>
          <t>Supabase Auth returns active JWT session token; AuthContext updates user state; user is redirected to /dashboard/overview; session stored in localStorage.</t>
        </is>
      </c>
      <c r="D17" s="13" t="inlineStr">
        <is>
          <t>2026-10-13</t>
        </is>
      </c>
      <c r="E17" s="14" t="inlineStr">
        <is>
          <t>Pass</t>
        </is>
      </c>
      <c r="F17" s="12" t="inlineStr">
        <is>
          <t>Positive test; core login authentication flow.</t>
        </is>
      </c>
    </row>
    <row r="18" ht="64" customHeight="1">
      <c r="A18" s="15" t="inlineStr">
        <is>
          <t>TC-M1-08</t>
        </is>
      </c>
      <c r="B18" s="16" t="inlineStr">
        <is>
          <t>Verify login displays user-friendly error message on incorrect password attempt.
Procedure:
1. Navigate to /login.
2. Enter Email: 'testuser@voicebridge.in' and incorrect Password: 'WrongPassword999'.
3. Click 'Sign In'.</t>
        </is>
      </c>
      <c r="C18" s="16" t="inlineStr">
        <is>
          <t>Login fails; UI shows error alert 'Invalid login credentials'; password field cleared; user remains on login page without account enumeration.</t>
        </is>
      </c>
      <c r="D18" s="17" t="inlineStr">
        <is>
          <t>2026-10-13</t>
        </is>
      </c>
      <c r="E18" s="14" t="inlineStr">
        <is>
          <t>Pass</t>
        </is>
      </c>
      <c r="F18" s="16" t="inlineStr">
        <is>
          <t>Negative / security test; credential protection.</t>
        </is>
      </c>
    </row>
    <row r="19" ht="64" customHeight="1">
      <c r="A19" s="11" t="inlineStr">
        <is>
          <t>TC-M1-09</t>
        </is>
      </c>
      <c r="B19" s="12" t="inlineStr">
        <is>
          <t>Verify successful saving of all 8 mandatory citizen profile fields.
Procedure:
1. Navigate to /dashboard/profile.
2. Enter Name: 'Sunita Deshmukh', DOB: '1994-06-20', Gender: 'Female', State: 'Maharashtra', District: 'Nashik', Occupation: 'Artisan', Annual Income: 180000, Category: 'OBC'.
3. Click 'Save Profile'.</t>
        </is>
      </c>
      <c r="C19" s="12" t="inlineStr">
        <is>
          <t>Profile data updated in Supabase profiles table; success notification shown; dynamic age displayed next to DOB; profile completion indicator updates to 100%.</t>
        </is>
      </c>
      <c r="D19" s="13" t="inlineStr">
        <is>
          <t>2026-10-13</t>
        </is>
      </c>
      <c r="E19" s="14" t="inlineStr">
        <is>
          <t>Pass</t>
        </is>
      </c>
      <c r="F19" s="12" t="inlineStr">
        <is>
          <t>Positive test; Section 3B 8-field profile requirement.</t>
        </is>
      </c>
    </row>
    <row r="20" ht="64" customHeight="1">
      <c r="A20" s="15" t="inlineStr">
        <is>
          <t>TC-M1-10</t>
        </is>
      </c>
      <c r="B20" s="16" t="inlineStr">
        <is>
          <t>Verify dynamic age calculation when birthday has occurred earlier in the current year.
Procedure:
1. On Profile page, enter Date of Birth '1990-03-15' (March 15, 1990).
2. Trigger input blur or inspect calculated age display.</t>
        </is>
      </c>
      <c r="C20" s="16" t="inlineStr">
        <is>
          <t>Dynamic age calculated as exactly 36 years (2026 - 1990 = 36; birthday in March has passed); age badge displays '36 years'.</t>
        </is>
      </c>
      <c r="D20" s="17" t="inlineStr">
        <is>
          <t>2026-10-13</t>
        </is>
      </c>
      <c r="E20" s="14" t="inlineStr">
        <is>
          <t>Pass</t>
        </is>
      </c>
      <c r="F20" s="16" t="inlineStr">
        <is>
          <t>Verified in test_age_calculation.mjs (10/10 boundary tests passed).</t>
        </is>
      </c>
    </row>
    <row r="21" ht="64" customHeight="1">
      <c r="A21" s="11" t="inlineStr">
        <is>
          <t>TC-M1-11</t>
        </is>
      </c>
      <c r="B21" s="12" t="inlineStr">
        <is>
          <t>Verify dynamic age does not prematurely increment when birthday is tomorrow.
Procedure:
1. Enter Date of Birth '1990-10-23' (October 23, 1990 - birthday tomorrow).
2. Evaluate calculated dynamic age.</t>
        </is>
      </c>
      <c r="C21" s="12" t="inlineStr">
        <is>
          <t>Dynamic age is calculated as exactly 35 years (not 36), confirming strict month/day check before incrementing.</t>
        </is>
      </c>
      <c r="D21" s="13" t="inlineStr">
        <is>
          <t>2026-10-13</t>
        </is>
      </c>
      <c r="E21" s="14" t="inlineStr">
        <is>
          <t>Pass</t>
        </is>
      </c>
      <c r="F21" s="12" t="inlineStr">
        <is>
          <t>Verified in test_age_calculation.mjs case 3.</t>
        </is>
      </c>
    </row>
    <row r="22" ht="64" customHeight="1">
      <c r="A22" s="15" t="inlineStr">
        <is>
          <t>TC-M1-12</t>
        </is>
      </c>
      <c r="B22" s="16" t="inlineStr">
        <is>
          <t>Verify dynamic age increments correctly when birthday is exactly today.
Procedure:
1. Enter Date of Birth '2000-10-22' (October 22, 2000 - birthday today).
2. Evaluate calculated dynamic age.</t>
        </is>
      </c>
      <c r="C22" s="16" t="inlineStr">
        <is>
          <t>Dynamic age is calculated as exactly 26 years (2026 - 2000 = 26).</t>
        </is>
      </c>
      <c r="D22" s="17" t="inlineStr">
        <is>
          <t>2026-10-13</t>
        </is>
      </c>
      <c r="E22" s="14" t="inlineStr">
        <is>
          <t>Pass</t>
        </is>
      </c>
      <c r="F22" s="16" t="inlineStr">
        <is>
          <t>Verified in test_age_calculation.mjs case 2.</t>
        </is>
      </c>
    </row>
    <row r="23" ht="64" customHeight="1">
      <c r="A23" s="11" t="inlineStr">
        <is>
          <t>TC-M1-13</t>
        </is>
      </c>
      <c r="B23" s="12" t="inlineStr">
        <is>
          <t>Verify leap year birthday (February 29) evaluates accurately across non-leap years.
Procedure:
1. Enter Date of Birth '2004-02-29'.
2. Evaluate dynamic age calculation output in non-leap year 2026.</t>
        </is>
      </c>
      <c r="C23" s="12" t="inlineStr">
        <is>
          <t>Dynamic age returns 22 years safely without throwing JavaScript Date overflow or leap year calculation exceptions.</t>
        </is>
      </c>
      <c r="D23" s="13" t="inlineStr">
        <is>
          <t>2026-10-13</t>
        </is>
      </c>
      <c r="E23" s="14" t="inlineStr">
        <is>
          <t>Pass</t>
        </is>
      </c>
      <c r="F23" s="12" t="inlineStr">
        <is>
          <t>Verified in test_age_calculation.mjs case 4.</t>
        </is>
      </c>
    </row>
    <row r="24" ht="64" customHeight="1">
      <c r="A24" s="15" t="inlineStr">
        <is>
          <t>TC-M1-14</t>
        </is>
      </c>
      <c r="B24" s="16" t="inlineStr">
        <is>
          <t>Verify system rejects future dates entered as Date of Birth.
Procedure:
1. Enter a future date '2030-01-01' in the Date of Birth field.
2. Click 'Save Profile'.</t>
        </is>
      </c>
      <c r="C24" s="16" t="inlineStr">
        <is>
          <t>Validation error displayed: 'Date of birth cannot be in the future'; calculateAge() returns null; profile submission prevented.</t>
        </is>
      </c>
      <c r="D24" s="17" t="inlineStr">
        <is>
          <t>2026-10-13</t>
        </is>
      </c>
      <c r="E24" s="14" t="inlineStr">
        <is>
          <t>Pass</t>
        </is>
      </c>
      <c r="F24" s="16" t="inlineStr">
        <is>
          <t>Verified in test_age_calculation.mjs case 5.</t>
        </is>
      </c>
    </row>
    <row r="25" ht="64" customHeight="1">
      <c r="A25" s="11" t="inlineStr">
        <is>
          <t>TC-M1-15</t>
        </is>
      </c>
      <c r="B25" s="12" t="inlineStr">
        <is>
          <t>Verify profile form prevents submission when mandatory fields (such as Annual Income) are omitted.
Procedure:
1. Fill all profile fields except Annual Income.
2. Leave Annual Income field empty.
3. Click 'Save Profile'.</t>
        </is>
      </c>
      <c r="C25" s="12" t="inlineStr">
        <is>
          <t>Form highlights Annual Income field with validation message 'Annual income is required'; profile update is not dispatched to backend.</t>
        </is>
      </c>
      <c r="D25" s="13" t="inlineStr"/>
      <c r="E25" s="18" t="inlineStr">
        <is>
          <t>Pending</t>
        </is>
      </c>
      <c r="F25" s="12" t="inlineStr">
        <is>
          <t>Pending manual UI validation on Profile form.</t>
        </is>
      </c>
    </row>
    <row r="26" ht="64" customHeight="1">
      <c r="A26" s="15" t="inlineStr">
        <is>
          <t>TC-M1-16</t>
        </is>
      </c>
      <c r="B26" s="16" t="inlineStr">
        <is>
          <t>Verify annual income of 0 INR is accepted as a valid boundary value for destitute citizens.
Procedure:
1. Enter valid profile details.
2. Enter Annual Income as '0'.
3. Click 'Save Profile'.</t>
        </is>
      </c>
      <c r="C26" s="16" t="inlineStr">
        <is>
          <t>System accepts 0 INR without treating it as missing/falsy; saves 0 in Supabase annual_income column; profile saved successfully.</t>
        </is>
      </c>
      <c r="D26" s="17" t="inlineStr"/>
      <c r="E26" s="18" t="inlineStr">
        <is>
          <t>Pending</t>
        </is>
      </c>
      <c r="F26" s="16" t="inlineStr">
        <is>
          <t>Boundary value test; BPL/destitute scheme eligibility.</t>
        </is>
      </c>
    </row>
    <row r="27" ht="64" customHeight="1">
      <c r="A27" s="11" t="inlineStr">
        <is>
          <t>TC-M1-17</t>
        </is>
      </c>
      <c r="B27" s="12" t="inlineStr">
        <is>
          <t>Verify profile form validation prevents negative annual income entries.
Procedure:
1. Enter Annual Income '-50000'.
2. Click 'Save Profile'.</t>
        </is>
      </c>
      <c r="C27" s="12" t="inlineStr">
        <is>
          <t>Validation error 'Annual income cannot be negative' displayed; input blocked or reset; profile update rejected.</t>
        </is>
      </c>
      <c r="D27" s="13" t="inlineStr"/>
      <c r="E27" s="18" t="inlineStr">
        <is>
          <t>Pending</t>
        </is>
      </c>
      <c r="F27" s="12" t="inlineStr">
        <is>
          <t>Negative input boundary test.</t>
        </is>
      </c>
    </row>
    <row r="28" ht="64" customHeight="1">
      <c r="A28" s="15" t="inlineStr">
        <is>
          <t>TC-M1-18</t>
        </is>
      </c>
      <c r="B28" s="16" t="inlineStr">
        <is>
          <t>Verify changing interface language dynamically updates Profile labels in Hindi and Marathi.
Procedure:
1. Open Language Selector dropdown in top navigation.
2. Switch to 'हिन्दी (Hindi)'. Verify field labels.
3. Switch to 'मराठी (Marathi)'. Verify field labels.</t>
        </is>
      </c>
      <c r="C28" s="16" t="inlineStr">
        <is>
          <t>UI immediately re-renders with translated strings (e.g. 'वार्षिक आय', 'जन्म तारीख', 'लिंग'); state persisted in localStorage('vb_language').</t>
        </is>
      </c>
      <c r="D28" s="17" t="inlineStr">
        <is>
          <t>2026-10-13</t>
        </is>
      </c>
      <c r="E28" s="14" t="inlineStr">
        <is>
          <t>Pass</t>
        </is>
      </c>
      <c r="F28" s="16" t="inlineStr">
        <is>
          <t>Localization verified; LanguageContext.tsx &amp; translations.ts.</t>
        </is>
      </c>
    </row>
    <row r="29" ht="64" customHeight="1">
      <c r="A29" s="11" t="inlineStr">
        <is>
          <t>TC-M1-19</t>
        </is>
      </c>
      <c r="B29" s="12" t="inlineStr">
        <is>
          <t>Verify citizen profile data persists across page reloads and browser sessions.
Procedure:
1. Refresh browser page (F5) or log out and log back in.
2. Navigate to /dashboard/profile.
3. Inspect pre-populated values in all 8 form inputs.</t>
        </is>
      </c>
      <c r="C29" s="12" t="inlineStr">
        <is>
          <t>profileService.getProfile() retrieves saved row from Supabase; all 8 inputs populate with saved values; dynamic age recalculates accurately.</t>
        </is>
      </c>
      <c r="D29" s="13" t="inlineStr">
        <is>
          <t>2026-10-13</t>
        </is>
      </c>
      <c r="E29" s="14" t="inlineStr">
        <is>
          <t>Pass</t>
        </is>
      </c>
      <c r="F29" s="12" t="inlineStr">
        <is>
          <t>Integration test; Supabase REST API &amp; state hydration.</t>
        </is>
      </c>
    </row>
    <row r="30" ht="64" customHeight="1">
      <c r="A30" s="15" t="inlineStr">
        <is>
          <t>TC-M1-20</t>
        </is>
      </c>
      <c r="B30" s="16" t="inlineStr">
        <is>
          <t>Verify unauthenticated users are blocked from accessing protected /dashboard/* routes.
Procedure:
1. Clear browser cookies and localStorage.
2. Directly type URL 'http://localhost:5173/dashboard/profile' into address bar.
3. Press Enter.</t>
        </is>
      </c>
      <c r="C30" s="16" t="inlineStr">
        <is>
          <t>ProtectedRoute detects unauthenticated state; user is redirected to /login with redirect query parameter; profile data is never rendered.</t>
        </is>
      </c>
      <c r="D30" s="17" t="inlineStr">
        <is>
          <t>2026-10-13</t>
        </is>
      </c>
      <c r="E30" s="14" t="inlineStr">
        <is>
          <t>Pass</t>
        </is>
      </c>
      <c r="F30" s="16" t="inlineStr">
        <is>
          <t>Security &amp; access control test; React Router navigation guard.</t>
        </is>
      </c>
    </row>
  </sheetData>
  <autoFilter ref="A10:F30"/>
  <mergeCells count="4">
    <mergeCell ref="B4:F4"/>
    <mergeCell ref="A1:F1"/>
    <mergeCell ref="B3:F3"/>
    <mergeCell ref="B5:F5"/>
  </mergeCells>
  <dataValidations count="1">
    <dataValidation sqref="E11:E30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0" customWidth="1" min="3" max="3"/>
    <col width="15" customWidth="1" min="4" max="4"/>
    <col width="14" customWidth="1" min="5" max="5"/>
    <col width="36" customWidth="1" min="6" max="6"/>
  </cols>
  <sheetData>
    <row r="1" ht="28" customHeight="1">
      <c r="A1" s="1" t="inlineStr">
        <is>
          <t>TEST CASE</t>
        </is>
      </c>
    </row>
    <row r="3">
      <c r="A3" s="2" t="inlineStr">
        <is>
          <t>System Name:</t>
        </is>
      </c>
      <c r="B3" s="3" t="inlineStr">
        <is>
          <t>VoiceBridge AI - Multilingual Citizen Welfare Scheme Portal</t>
        </is>
      </c>
      <c r="C3" s="4" t="n"/>
      <c r="D3" s="4" t="n"/>
      <c r="E3" s="4" t="n"/>
      <c r="F3" s="4" t="n"/>
    </row>
    <row r="4">
      <c r="A4" s="2" t="inlineStr">
        <is>
          <t>Module Code:</t>
        </is>
      </c>
      <c r="B4" s="3" t="inlineStr">
        <is>
          <t>MOD-02: Multilingual Speech-to-Text &amp; NLP Profile Extraction</t>
        </is>
      </c>
      <c r="C4" s="4" t="n"/>
      <c r="D4" s="4" t="n"/>
      <c r="E4" s="4" t="n"/>
      <c r="F4" s="4" t="n"/>
    </row>
    <row r="5">
      <c r="A5" s="2" t="inlineStr">
        <is>
          <t>Test requirement:</t>
        </is>
      </c>
      <c r="B5" s="3" t="inlineStr">
        <is>
          <t>Verify Whisper Small ASR speech-to-text in English, Hindi, and Marathi; multilingual NER extraction (CRF, XLM-RoBERTa, Marathi BERT); date &amp; income normalizers; false-positive prevention; and multi-turn dialogue merging.</t>
        </is>
      </c>
      <c r="C5" s="4" t="n"/>
      <c r="D5" s="4" t="n"/>
      <c r="E5" s="4" t="n"/>
      <c r="F5" s="4" t="n"/>
    </row>
    <row r="6" ht="22" customHeight="1">
      <c r="A6" s="5" t="inlineStr">
        <is>
          <t>Pass</t>
        </is>
      </c>
      <c r="B6" s="6">
        <f>COUNTIF(E11:E30, "Pass")</f>
        <v/>
      </c>
      <c r="C6" s="5" t="inlineStr">
        <is>
          <t>Pending</t>
        </is>
      </c>
      <c r="D6" s="7">
        <f>COUNTIF(E11:E30, "Pending")</f>
        <v/>
      </c>
      <c r="E6" s="4" t="n"/>
      <c r="F6" s="4" t="n"/>
    </row>
    <row r="7" ht="22" customHeight="1">
      <c r="A7" s="5" t="inlineStr">
        <is>
          <t>Fail</t>
        </is>
      </c>
      <c r="B7" s="8">
        <f>COUNTIF(E11:E30, "Fail")</f>
        <v/>
      </c>
      <c r="C7" s="5" t="inlineStr">
        <is>
          <t>Number of test cases:</t>
        </is>
      </c>
      <c r="D7" s="9">
        <f>COUNTA(A11:A30)</f>
        <v/>
      </c>
      <c r="E7" s="4" t="n"/>
      <c r="F7" s="4" t="n"/>
    </row>
    <row r="8" ht="10" customHeight="1"/>
    <row r="9" ht="10" customHeight="1"/>
    <row r="10" ht="30" customHeight="1">
      <c r="A10" s="10" t="inlineStr">
        <is>
          <t>ID</t>
        </is>
      </c>
      <c r="B10" s="10" t="inlineStr">
        <is>
          <t>Test Case Description</t>
        </is>
      </c>
      <c r="C10" s="10" t="inlineStr">
        <is>
          <t>Expected Output</t>
        </is>
      </c>
      <c r="D10" s="10" t="inlineStr">
        <is>
          <t>Test Date</t>
        </is>
      </c>
      <c r="E10" s="10" t="inlineStr">
        <is>
          <t>Result</t>
        </is>
      </c>
      <c r="F10" s="10" t="inlineStr">
        <is>
          <t>Note</t>
        </is>
      </c>
    </row>
    <row r="11" ht="64" customHeight="1">
      <c r="A11" s="11" t="inlineStr">
        <is>
          <t>TC-M2-01</t>
        </is>
      </c>
      <c r="B11" s="12" t="inlineStr">
        <is>
          <t>Verify accurate speech-to-text transcription of spoken English voice query via Whisper Small model.
Procedure:
1. Send POST /api/asr/transcribe with audio 'test_en.wav' containing 'My name is Rahul Sharma and I live in Thane.' and language='en'.
2. Inspect transcription payload.</t>
        </is>
      </c>
      <c r="C11" s="12" t="inlineStr">
        <is>
          <t>HTTP 200 OK; response contains {'transcript': 'My name is Rahul Sharma and I live in Thane.', 'language': 'en'}; transcription accurately matches spoken audio.</t>
        </is>
      </c>
      <c r="D11" s="13" t="inlineStr">
        <is>
          <t>2026-10-13</t>
        </is>
      </c>
      <c r="E11" s="14" t="inlineStr">
        <is>
          <t>Pass</t>
        </is>
      </c>
      <c r="F11" s="12" t="inlineStr">
        <is>
          <t>Verified using Whisper Small checkpoint in ai_service/main.py.</t>
        </is>
      </c>
    </row>
    <row r="12" ht="64" customHeight="1">
      <c r="A12" s="15" t="inlineStr">
        <is>
          <t>TC-M2-02</t>
        </is>
      </c>
      <c r="B12" s="16" t="inlineStr">
        <is>
          <t>Verify speech-to-text transcription of spoken Hindi voice query into Devanagari script.
Procedure:
1. Send POST /api/asr/transcribe with audio 'ASR-HI-01.mp3' and language='hi'.
2. Verify transcription in Devanagari Hindi.</t>
        </is>
      </c>
      <c r="C12" s="16" t="inlineStr">
        <is>
          <t>HTTP 200 OK; response transcript correctly transcribes spoken Hindi ('मेरा नाम राहुल है और मैं ठाणे में रहता हूँ।') in Devanagari script; language detected as 'hi'.</t>
        </is>
      </c>
      <c r="D12" s="17" t="inlineStr">
        <is>
          <t>2026-10-15</t>
        </is>
      </c>
      <c r="E12" s="14" t="inlineStr">
        <is>
          <t>Pass</t>
        </is>
      </c>
      <c r="F12" s="16" t="inlineStr">
        <is>
          <t>Verified in evaluate_asr_benchmarks.py.</t>
        </is>
      </c>
    </row>
    <row r="13" ht="64" customHeight="1">
      <c r="A13" s="11" t="inlineStr">
        <is>
          <t>TC-M2-03</t>
        </is>
      </c>
      <c r="B13" s="12" t="inlineStr">
        <is>
          <t>Verify speech-to-text transcription of spoken Marathi voice query into Marathi text.
Procedure:
1. Send POST /api/asr/transcribe with audio 'ASR-MR-01.mp3' and language='mr'.
2. Verify transcription output.</t>
        </is>
      </c>
      <c r="C13" s="12" t="inlineStr">
        <is>
          <t>HTTP 200 OK; transcript faithfully captures spoken Marathi words with dialectal inflections ('माझे नाव राहुल आहे आणि मी ठाणे जिल्ह्यात राहतो.'); language set to 'mr'.</t>
        </is>
      </c>
      <c r="D13" s="13" t="inlineStr">
        <is>
          <t>2026-10-15</t>
        </is>
      </c>
      <c r="E13" s="14" t="inlineStr">
        <is>
          <t>Pass</t>
        </is>
      </c>
      <c r="F13" s="12" t="inlineStr">
        <is>
          <t>Verified in evaluate_asr_benchmarks.py.</t>
        </is>
      </c>
    </row>
    <row r="14" ht="64" customHeight="1">
      <c r="A14" s="15" t="inlineStr">
        <is>
          <t>TC-M2-04</t>
        </is>
      </c>
      <c r="B14" s="16" t="inlineStr">
        <is>
          <t>Verify ASR service gracefully handles silent audio recordings without crashing.
Procedure:
1. Record 3 seconds of complete room silence (near-zero amplitude WAV).
2. Post audio to /api/asr/transcribe.</t>
        </is>
      </c>
      <c r="C14" s="16" t="inlineStr">
        <is>
          <t>Service returns HTTP 200 with empty transcript {'transcript': ''} or message 'No audible speech detected; please speak into your microphone again.'</t>
        </is>
      </c>
      <c r="D14" s="17" t="inlineStr"/>
      <c r="E14" s="18" t="inlineStr">
        <is>
          <t>Pending</t>
        </is>
      </c>
      <c r="F14" s="16" t="inlineStr">
        <is>
          <t>Edge test; audio silence threshold.</t>
        </is>
      </c>
    </row>
    <row r="15" ht="64" customHeight="1">
      <c r="A15" s="11" t="inlineStr">
        <is>
          <t>TC-M2-05</t>
        </is>
      </c>
      <c r="B15" s="12" t="inlineStr">
        <is>
          <t>Verify ASR endpoint rejects corrupt or non-audio file payloads.
Procedure:
1. Send POST /api/asr/transcribe with a dummy text file renamed as 'audio.wav'.
2. Inspect error response.</t>
        </is>
      </c>
      <c r="C15" s="12" t="inlineStr">
        <is>
          <t>Service returns HTTP 400 Bad Request with error detail 'Invalid or corrupt audio format. Please provide a valid WAV, MP3, or WebM audio file.'</t>
        </is>
      </c>
      <c r="D15" s="13" t="inlineStr"/>
      <c r="E15" s="18" t="inlineStr">
        <is>
          <t>Pending</t>
        </is>
      </c>
      <c r="F15" s="12" t="inlineStr">
        <is>
          <t>Negative input validation; audio MIME type enforcement.</t>
        </is>
      </c>
    </row>
    <row r="16" ht="64" customHeight="1">
      <c r="A16" s="15" t="inlineStr">
        <is>
          <t>TC-M2-06</t>
        </is>
      </c>
      <c r="B16" s="16" t="inlineStr">
        <is>
          <t>Verify extraction of all 8 profile slots from a single comprehensive English utterance.
Procedure:
1. Send POST /api/nlp/extract with benchmark text: 'My name is Rahul Sharma. I was born on 15 August 2002. I am male, I live in Maharashtra in Thane district, I am a student, my annual income is around two lakh rupees, and I belong to the OBC category.' and language='en'.</t>
        </is>
      </c>
      <c r="C16" s="16" t="inlineStr">
        <is>
          <t>full_name: 'Rahul Sharma', date_of_birth: '2002-08-15', gender: 'Male', state: 'Maharashtra', district: 'Thane', occupation: 'Student', annual_income: 200000, category: 'OBC', is_complete: true, missing_fields: [].</t>
        </is>
      </c>
      <c r="D16" s="17" t="inlineStr">
        <is>
          <t>2026-10-15</t>
        </is>
      </c>
      <c r="E16" s="14" t="inlineStr">
        <is>
          <t>Pass</t>
        </is>
      </c>
      <c r="F16" s="16" t="inlineStr">
        <is>
          <t>Verified in test_regression_suite.py Case 9.</t>
        </is>
      </c>
    </row>
    <row r="17" ht="64" customHeight="1">
      <c r="A17" s="11" t="inlineStr">
        <is>
          <t>TC-M2-07</t>
        </is>
      </c>
      <c r="B17" s="12" t="inlineStr">
        <is>
          <t>Verify extraction of profile slots from Hindi natural language utterance using XLM-RoBERTa NER model.
Procedure:
1. Send POST /api/nlp/extract with text: 'मेरा जन्म 1986 में हुआ था और मेरी वार्षिक आय दो लाख रुपये है। मैं ठाणे जिले में रहता हूँ।' and language='hi'.
2. Inspect extracted slots.</t>
        </is>
      </c>
      <c r="C17" s="12" t="inlineStr">
        <is>
          <t>date_of_birth: '1986-01-01', annual_income: 200000, district: 'Thane', state: 'Maharashtra', full_name: null (pronouns not falsely tagged as name).</t>
        </is>
      </c>
      <c r="D17" s="13" t="inlineStr">
        <is>
          <t>2026-10-15</t>
        </is>
      </c>
      <c r="E17" s="14" t="inlineStr">
        <is>
          <t>Pass</t>
        </is>
      </c>
      <c r="F17" s="12" t="inlineStr">
        <is>
          <t>Verified in test_regression_suite.py Case 2.</t>
        </is>
      </c>
    </row>
    <row r="18" ht="64" customHeight="1">
      <c r="A18" s="15" t="inlineStr">
        <is>
          <t>TC-M2-08</t>
        </is>
      </c>
      <c r="B18" s="16" t="inlineStr">
        <is>
          <t>Verify extraction of profile slots from Marathi natural language utterance using Marathi BERT NER model.
Procedure:
1. Send POST /api/nlp/extract with text: 'माझा जन्म १९८६ मध्ये झाला आणि माझे वार्षिक उत्पन्न दोन लाख रुपये आहे. मी ठाणे जिल्ह्यात राहतो.' and language='mr'.
2. Inspect extracted slots.</t>
        </is>
      </c>
      <c r="C18" s="16" t="inlineStr">
        <is>
          <t>date_of_birth: '1986-01-01', annual_income: 200000, district: 'Thane', state: 'Maharashtra', Devanagari numerals parsed accurately.</t>
        </is>
      </c>
      <c r="D18" s="17" t="inlineStr">
        <is>
          <t>2026-10-15</t>
        </is>
      </c>
      <c r="E18" s="14" t="inlineStr">
        <is>
          <t>Pass</t>
        </is>
      </c>
      <c r="F18" s="16" t="inlineStr">
        <is>
          <t>Verified in test_regression_suite.py Case 3.</t>
        </is>
      </c>
    </row>
    <row r="19" ht="64" customHeight="1">
      <c r="A19" s="11" t="inlineStr">
        <is>
          <t>TC-M2-09</t>
        </is>
      </c>
      <c r="B19" s="12" t="inlineStr">
        <is>
          <t>Verify spoken 4-digit birth year is correctly normalized to standard ISO date YYYY-01-01.
Procedure:
1. Send text 'I was born in 1986 and I am a farmer.' to /api/nlp/extract.
2. Check date_of_birth field in response.</t>
        </is>
      </c>
      <c r="C19" s="12" t="inlineStr">
        <is>
          <t>date_of_birth is normalized to '1986-01-01' with birth year parsed accurately.</t>
        </is>
      </c>
      <c r="D19" s="13" t="inlineStr">
        <is>
          <t>2026-10-15</t>
        </is>
      </c>
      <c r="E19" s="14" t="inlineStr">
        <is>
          <t>Pass</t>
        </is>
      </c>
      <c r="F19" s="12" t="inlineStr">
        <is>
          <t>Verified in test_regression_suite.py Case 1 &amp; normalizers.py.</t>
        </is>
      </c>
    </row>
    <row r="20" ht="64" customHeight="1">
      <c r="A20" s="15" t="inlineStr">
        <is>
          <t>TC-M2-10</t>
        </is>
      </c>
      <c r="B20" s="16" t="inlineStr">
        <is>
          <t>Verify slash-delimited date ('15/08/1990') is normalized to ISO standard YYYY-MM-DD.
Procedure:
1. Send text 'I was born on 15/08/1990 and my annual income is 350000 rupees.' to /api/nlp/extract.
2. Check date_of_birth output.</t>
        </is>
      </c>
      <c r="C20" s="16" t="inlineStr">
        <is>
          <t>date_of_birth is normalized to '1990-08-15', annual_income is 350000.</t>
        </is>
      </c>
      <c r="D20" s="17" t="inlineStr">
        <is>
          <t>2026-10-15</t>
        </is>
      </c>
      <c r="E20" s="14" t="inlineStr">
        <is>
          <t>Pass</t>
        </is>
      </c>
      <c r="F20" s="16" t="inlineStr">
        <is>
          <t>Verified in test_regression_suite.py Case 6.</t>
        </is>
      </c>
    </row>
    <row r="21" ht="64" customHeight="1">
      <c r="A21" s="11" t="inlineStr">
        <is>
          <t>TC-M2-11</t>
        </is>
      </c>
      <c r="B21" s="12" t="inlineStr">
        <is>
          <t>Verify spoken verbal words ('two lakh rupees' / 'दो लाख') are converted to numeric integer INR.
Procedure:
1. Send text 'My annual income is two lakh rupees.' to /api/nlp/extract.
2. Check annual_income field value.</t>
        </is>
      </c>
      <c r="C21" s="12" t="inlineStr">
        <is>
          <t>annual_income is parsed as numeric integer 200000 (not string 'two lakh').</t>
        </is>
      </c>
      <c r="D21" s="13" t="inlineStr">
        <is>
          <t>2026-10-15</t>
        </is>
      </c>
      <c r="E21" s="14" t="inlineStr">
        <is>
          <t>Pass</t>
        </is>
      </c>
      <c r="F21" s="12" t="inlineStr">
        <is>
          <t>Verified in test_regression_suite.py Cases 1, 2, 3.</t>
        </is>
      </c>
    </row>
    <row r="22" ht="64" customHeight="1">
      <c r="A22" s="15" t="inlineStr">
        <is>
          <t>TC-M2-12</t>
        </is>
      </c>
      <c r="B22" s="16" t="inlineStr">
        <is>
          <t>Verify monthly salary phrases ('monthly salary is 20,000 rupees') are converted to annual income (20,000 * 12 = 240,000).
Procedure:
1. Send text 'my monthly salary is 20,000 rupees' to /api/nlp/extract.
2. Check annual_income calculation.</t>
        </is>
      </c>
      <c r="C22" s="16" t="inlineStr">
        <is>
          <t>annual_income returns 240000 (computed as monthly amount * 12).</t>
        </is>
      </c>
      <c r="D22" s="17" t="inlineStr">
        <is>
          <t>2026-10-15</t>
        </is>
      </c>
      <c r="E22" s="14" t="inlineStr">
        <is>
          <t>Pass</t>
        </is>
      </c>
      <c r="F22" s="16" t="inlineStr">
        <is>
          <t>Verified in test_regression_suite.py Case 5.</t>
        </is>
      </c>
    </row>
    <row r="23" ht="64" customHeight="1">
      <c r="A23" s="11" t="inlineStr">
        <is>
          <t>TC-M2-13</t>
        </is>
      </c>
      <c r="B23" s="12" t="inlineStr">
        <is>
          <t>Verify text mentioning 'rupees' without a state does NOT falsely classify state as 'Uttar Pradesh'.
Procedure:
1. Send text 'My income is 50000 rupees. I am a student.' to /api/nlp/extract.
2. Check state in response.</t>
        </is>
      </c>
      <c r="C23" s="12" t="inlineStr">
        <is>
          <t>state is null (None); state must NOT be 'Uttar Pradesh'; annual_income is 50000.</t>
        </is>
      </c>
      <c r="D23" s="13" t="inlineStr">
        <is>
          <t>2026-10-15</t>
        </is>
      </c>
      <c r="E23" s="14" t="inlineStr">
        <is>
          <t>Pass</t>
        </is>
      </c>
      <c r="F23" s="12" t="inlineStr">
        <is>
          <t>Verified in test_regression_suite.py Case 4 (bug regression test).</t>
        </is>
      </c>
    </row>
    <row r="24" ht="64" customHeight="1">
      <c r="A24" s="15" t="inlineStr">
        <is>
          <t>TC-M2-14</t>
        </is>
      </c>
      <c r="B24" s="16" t="inlineStr">
        <is>
          <t>Verify Hindi/Marathi personal pronouns ('मैं', 'मी') are not extracted as citizen's name.
Procedure:
1. Send text 'मैं महाराष्ट्र में रहता हूँ और खेती करता हूँ।' to /api/nlp/extract.
2. Inspect full_name in response.</t>
        </is>
      </c>
      <c r="C24" s="16" t="inlineStr">
        <is>
          <t>full_name is null; occupation is 'Farmer'; state is 'Maharashtra'.</t>
        </is>
      </c>
      <c r="D24" s="17" t="inlineStr">
        <is>
          <t>2026-10-15</t>
        </is>
      </c>
      <c r="E24" s="14" t="inlineStr">
        <is>
          <t>Pass</t>
        </is>
      </c>
      <c r="F24" s="16" t="inlineStr">
        <is>
          <t>Verified in test_regression_suite.py Case 8 (bug regression test).</t>
        </is>
      </c>
    </row>
    <row r="25" ht="64" customHeight="1">
      <c r="A25" s="11" t="inlineStr">
        <is>
          <t>TC-M2-15</t>
        </is>
      </c>
      <c r="B25" s="12" t="inlineStr">
        <is>
          <t>Verify grammatical district inflections ('मी पुणे जिल्हा येथे राहतो', 'मैं नागपूर जिले से हूँ') map to canonical district and state.
Procedure:
1. Send Marathi text 'मी पुणे जिल्हा येथे राहतो' to /api/nlp/extract.
2. Send Hindi text 'मैं नागपूर जिले से हूँ' to /api/nlp/extract.</t>
        </is>
      </c>
      <c r="C25" s="12" t="inlineStr">
        <is>
          <t>In query 1, district is 'Pune' and state is 'Maharashtra'; in query 2, district is 'Nagpur' and state is 'Maharashtra'.</t>
        </is>
      </c>
      <c r="D25" s="13" t="inlineStr">
        <is>
          <t>2026-10-15</t>
        </is>
      </c>
      <c r="E25" s="14" t="inlineStr">
        <is>
          <t>Pass</t>
        </is>
      </c>
      <c r="F25" s="12" t="inlineStr">
        <is>
          <t>Verified in test_regression_suite.py Case 7.</t>
        </is>
      </c>
    </row>
    <row r="26" ht="64" customHeight="1">
      <c r="A26" s="15" t="inlineStr">
        <is>
          <t>TC-M2-16</t>
        </is>
      </c>
      <c r="B26" s="16" t="inlineStr">
        <is>
          <t>Verify Turn 1 partial utterance flags is_complete: false and identifies exact missing profile fields.
Procedure:
1. Send Turn 1 text: 'My name is Amit. I live in Pune and I am a farmer.'
2. Inspect is_complete and missing_fields list.</t>
        </is>
      </c>
      <c r="C26" s="16" t="inlineStr">
        <is>
          <t>is_complete is false; missing_fields contains ['date_of_birth', 'gender', 'annual_income', 'category']; prompt suggests asking for missing info.</t>
        </is>
      </c>
      <c r="D26" s="17" t="inlineStr">
        <is>
          <t>2026-10-15</t>
        </is>
      </c>
      <c r="E26" s="14" t="inlineStr">
        <is>
          <t>Pass</t>
        </is>
      </c>
      <c r="F26" s="16" t="inlineStr">
        <is>
          <t>Verified in test_regression_suite.py Case 10 Turn 1.</t>
        </is>
      </c>
    </row>
    <row r="27" ht="64" customHeight="1">
      <c r="A27" s="11" t="inlineStr">
        <is>
          <t>TC-M2-17</t>
        </is>
      </c>
      <c r="B27" s="12" t="inlineStr">
        <is>
          <t>Verify Turn 2 follow-up response seamlessly merges newly provided slots into Turn 1 profile without overwriting existing data.
Procedure:
1. Send Turn 2 payload with previous_profile and text: 'I was born on 10/05/1995 and my income is 150000 rupees. I belong to General category and male.'
2. Inspect merged extracted_fields.</t>
        </is>
      </c>
      <c r="C27" s="12" t="inlineStr">
        <is>
          <t>Final profile retains full_name: 'Amit', district: 'Pune', occupation: 'Farmer' and incorporates date_of_birth: '1995-05-10', annual_income: 150000, category: 'General', gender: 'Male'; is_complete: true.</t>
        </is>
      </c>
      <c r="D27" s="13" t="inlineStr">
        <is>
          <t>2026-10-15</t>
        </is>
      </c>
      <c r="E27" s="14" t="inlineStr">
        <is>
          <t>Pass</t>
        </is>
      </c>
      <c r="F27" s="12" t="inlineStr">
        <is>
          <t>Verified in test_regression_suite.py Case 10 Turn 2.</t>
        </is>
      </c>
    </row>
    <row r="28" ht="64" customHeight="1">
      <c r="A28" s="15" t="inlineStr">
        <is>
          <t>TC-M2-18</t>
        </is>
      </c>
      <c r="B28" s="16" t="inlineStr">
        <is>
          <t>Verify transcribed and extracted slots automatically populate the interactive Review Card on AssistantPage.
Procedure:
1. Record or type complete profile sentence in Assistant input bar.
2. Click Send / Process.
3. Observe the 'Profile Review Card' displayed by the Assistant.</t>
        </is>
      </c>
      <c r="C28" s="16" t="inlineStr">
        <is>
          <t>Review Card displays extracted chips for all 8 fields with 'Confirm &amp; Save Profile' button; user can edit any field directly before saving.</t>
        </is>
      </c>
      <c r="D28" s="17" t="inlineStr"/>
      <c r="E28" s="18" t="inlineStr">
        <is>
          <t>Pending</t>
        </is>
      </c>
      <c r="F28" s="16" t="inlineStr">
        <is>
          <t>Pending end-to-end browser UI automation.</t>
        </is>
      </c>
    </row>
    <row r="29" ht="64" customHeight="1">
      <c r="A29" s="11" t="inlineStr">
        <is>
          <t>TC-M2-19</t>
        </is>
      </c>
      <c r="B29" s="12" t="inlineStr">
        <is>
          <t>Verify /api/nlp/extract returns proper validation error on empty or whitespace text payload.
Procedure:
1. Send POST /api/nlp/extract with payload {'text': '   ', 'language': 'en'}.
2. Inspect response status code and body.</t>
        </is>
      </c>
      <c r="C29" s="12" t="inlineStr">
        <is>
          <t>HTTP 400 Bad Request returned with message 'Input text cannot be empty'; service remains stable without uncaught exceptions.</t>
        </is>
      </c>
      <c r="D29" s="13" t="inlineStr">
        <is>
          <t>2026-10-15</t>
        </is>
      </c>
      <c r="E29" s="14" t="inlineStr">
        <is>
          <t>Pass</t>
        </is>
      </c>
      <c r="F29" s="12" t="inlineStr">
        <is>
          <t>API input validation verified in main.py.</t>
        </is>
      </c>
    </row>
    <row r="30" ht="64" customHeight="1">
      <c r="A30" s="15" t="inlineStr">
        <is>
          <t>TC-M2-20</t>
        </is>
      </c>
      <c r="B30" s="16" t="inlineStr">
        <is>
          <t>Verify neural Indic Parler-TTS speech synthesis endpoint execution against installed host environment.
Procedure:
1. Invoke POST /api/tts/synthesize with text and language='hi'.
2. Inspect model loading and response status.</t>
        </is>
      </c>
      <c r="C30" s="16" t="inlineStr">
        <is>
          <t>Endpoint fails to synthesize audio due to parler-tts 0.2.2 dependency pin (requires transformers&lt;=4.46.1; host runs transformers 5.14.1); returns 503 fallback notice.</t>
        </is>
      </c>
      <c r="D30" s="17" t="inlineStr">
        <is>
          <t>2026-10-13</t>
        </is>
      </c>
      <c r="E30" s="19" t="inlineStr">
        <is>
          <t>Fail</t>
        </is>
      </c>
      <c r="F30" s="16" t="inlineStr">
        <is>
          <t>Blocked by transformers 5.x dependency conflict; browser Web Speech API active as fallback.</t>
        </is>
      </c>
    </row>
  </sheetData>
  <autoFilter ref="A10:F30"/>
  <mergeCells count="4">
    <mergeCell ref="B4:F4"/>
    <mergeCell ref="A1:F1"/>
    <mergeCell ref="B3:F3"/>
    <mergeCell ref="B5:F5"/>
  </mergeCells>
  <dataValidations count="1">
    <dataValidation sqref="E11:E30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0" customWidth="1" min="3" max="3"/>
    <col width="15" customWidth="1" min="4" max="4"/>
    <col width="14" customWidth="1" min="5" max="5"/>
    <col width="36" customWidth="1" min="6" max="6"/>
  </cols>
  <sheetData>
    <row r="1" ht="28" customHeight="1">
      <c r="A1" s="1" t="inlineStr">
        <is>
          <t>TEST CASE</t>
        </is>
      </c>
    </row>
    <row r="3">
      <c r="A3" s="2" t="inlineStr">
        <is>
          <t>System Name:</t>
        </is>
      </c>
      <c r="B3" s="3" t="inlineStr">
        <is>
          <t>VoiceBridge AI - Multilingual Citizen Welfare Scheme Portal</t>
        </is>
      </c>
      <c r="C3" s="4" t="n"/>
      <c r="D3" s="4" t="n"/>
      <c r="E3" s="4" t="n"/>
      <c r="F3" s="4" t="n"/>
    </row>
    <row r="4">
      <c r="A4" s="2" t="inlineStr">
        <is>
          <t>Module Code:</t>
        </is>
      </c>
      <c r="B4" s="3" t="inlineStr">
        <is>
          <t>MOD-03: Scheme Eligibility, Document OCR Verification &amp; Application PDF Generation</t>
        </is>
      </c>
      <c r="C4" s="4" t="n"/>
      <c r="D4" s="4" t="n"/>
      <c r="E4" s="4" t="n"/>
      <c r="F4" s="4" t="n"/>
    </row>
    <row r="5">
      <c r="A5" s="2" t="inlineStr">
        <is>
          <t>Test requirement:</t>
        </is>
      </c>
      <c r="B5" s="3" t="inlineStr">
        <is>
          <t>Verify multi-criteria scheme eligibility engine (dynamic age, income ceiling, occupation synonyms, gender, state jurisdiction); document upload &amp; OCR extraction; match vs discrepancy validation; and application wizard PDF generation with disclaimers.</t>
        </is>
      </c>
      <c r="C5" s="4" t="n"/>
      <c r="D5" s="4" t="n"/>
      <c r="E5" s="4" t="n"/>
      <c r="F5" s="4" t="n"/>
    </row>
    <row r="6" ht="22" customHeight="1">
      <c r="A6" s="5" t="inlineStr">
        <is>
          <t>Pass</t>
        </is>
      </c>
      <c r="B6" s="6">
        <f>COUNTIF(E11:E30, "Pass")</f>
        <v/>
      </c>
      <c r="C6" s="5" t="inlineStr">
        <is>
          <t>Pending</t>
        </is>
      </c>
      <c r="D6" s="7">
        <f>COUNTIF(E11:E30, "Pending")</f>
        <v/>
      </c>
      <c r="E6" s="4" t="n"/>
      <c r="F6" s="4" t="n"/>
    </row>
    <row r="7" ht="22" customHeight="1">
      <c r="A7" s="5" t="inlineStr">
        <is>
          <t>Fail</t>
        </is>
      </c>
      <c r="B7" s="8">
        <f>COUNTIF(E11:E30, "Fail")</f>
        <v/>
      </c>
      <c r="C7" s="5" t="inlineStr">
        <is>
          <t>Number of test cases:</t>
        </is>
      </c>
      <c r="D7" s="9">
        <f>COUNTA(A11:A30)</f>
        <v/>
      </c>
      <c r="E7" s="4" t="n"/>
      <c r="F7" s="4" t="n"/>
    </row>
    <row r="8" ht="10" customHeight="1"/>
    <row r="9" ht="10" customHeight="1"/>
    <row r="10" ht="30" customHeight="1">
      <c r="A10" s="10" t="inlineStr">
        <is>
          <t>ID</t>
        </is>
      </c>
      <c r="B10" s="10" t="inlineStr">
        <is>
          <t>Test Case Description</t>
        </is>
      </c>
      <c r="C10" s="10" t="inlineStr">
        <is>
          <t>Expected Output</t>
        </is>
      </c>
      <c r="D10" s="10" t="inlineStr">
        <is>
          <t>Test Date</t>
        </is>
      </c>
      <c r="E10" s="10" t="inlineStr">
        <is>
          <t>Result</t>
        </is>
      </c>
      <c r="F10" s="10" t="inlineStr">
        <is>
          <t>Note</t>
        </is>
      </c>
    </row>
    <row r="11" ht="64" customHeight="1">
      <c r="A11" s="11" t="inlineStr">
        <is>
          <t>TC-M3-01</t>
        </is>
      </c>
      <c r="B11" s="12" t="inlineStr">
        <is>
          <t>Verify citizen profile meeting all age, income, category, and occupation rules evaluates as 'eligible'.
Procedure:
1. Evaluate citizen profile: Age 42, Occupation 'Farmer', Income 1,20,000 INR, State 'Maharashtra'.
2. Invoke checkEligibility(profile, pmKisanScheme).</t>
        </is>
      </c>
      <c r="C11" s="12" t="inlineStr">
        <is>
          <t>Result returns status: 'eligible'; reasons list confirms applicant meets farmer occupation and income limits; scheme appears under 'Eligible Schemes' list.</t>
        </is>
      </c>
      <c r="D11" s="13" t="inlineStr">
        <is>
          <t>2026-10-14</t>
        </is>
      </c>
      <c r="E11" s="14" t="inlineStr">
        <is>
          <t>Pass</t>
        </is>
      </c>
      <c r="F11" s="12" t="inlineStr">
        <is>
          <t>Verified in eligibilityService.ts for PM-Kisan.</t>
        </is>
      </c>
    </row>
    <row r="12" ht="64" customHeight="1">
      <c r="A12" s="15" t="inlineStr">
        <is>
          <t>TC-M3-02</t>
        </is>
      </c>
      <c r="B12" s="16" t="inlineStr">
        <is>
          <t>Verify citizen profile exceeding scheme's income cap is evaluated as 'not_eligible' with clear explanation.
Procedure:
1. Evaluate citizen profile: Occupation 'Student', Category 'OBC', Annual Income 3,50,000 INR.
2. Invoke checkEligibility(profile, obcScholarshipScheme with income cap 2,50,000 INR).</t>
        </is>
      </c>
      <c r="C12" s="16" t="inlineStr">
        <is>
          <t>Result returns status: 'not_eligible'; reasons contain: 'Not eligible: annual income ₹3,50,000 exceeds maximum permitted limit of ₹2,50,000.'</t>
        </is>
      </c>
      <c r="D12" s="17" t="inlineStr">
        <is>
          <t>2026-10-14</t>
        </is>
      </c>
      <c r="E12" s="14" t="inlineStr">
        <is>
          <t>Pass</t>
        </is>
      </c>
      <c r="F12" s="16" t="inlineStr">
        <is>
          <t>Verified in eligibilityService.ts income ceiling filter.</t>
        </is>
      </c>
    </row>
    <row r="13" ht="64" customHeight="1">
      <c r="A13" s="11" t="inlineStr">
        <is>
          <t>TC-M3-03</t>
        </is>
      </c>
      <c r="B13" s="12" t="inlineStr">
        <is>
          <t>Verify citizen whose dynamic age is exactly at the minimum required age boundary is evaluated as eligible.
Procedure:
1. Provide profile with dynamic age = 18.
2. Evaluate eligibility against scheme requiring age_min: 18.</t>
        </is>
      </c>
      <c r="C13" s="12" t="inlineStr">
        <is>
          <t>Result evaluates age criteria as satisfied (18 &gt;= 18); applicant marked as eligible.</t>
        </is>
      </c>
      <c r="D13" s="13" t="inlineStr">
        <is>
          <t>2026-10-14</t>
        </is>
      </c>
      <c r="E13" s="14" t="inlineStr">
        <is>
          <t>Pass</t>
        </is>
      </c>
      <c r="F13" s="12" t="inlineStr">
        <is>
          <t>Boundary value test; minimum age condition.</t>
        </is>
      </c>
    </row>
    <row r="14" ht="64" customHeight="1">
      <c r="A14" s="15" t="inlineStr">
        <is>
          <t>TC-M3-04</t>
        </is>
      </c>
      <c r="B14" s="16" t="inlineStr">
        <is>
          <t>Verify citizen whose dynamic age is exactly at the maximum allowable age limit is evaluated as eligible.
Procedure:
1. Provide profile with dynamic age = 35.
2. Evaluate eligibility against scheme with age_max: 35.</t>
        </is>
      </c>
      <c r="C14" s="16" t="inlineStr">
        <is>
          <t>Result evaluates age criteria as satisfied (35 &lt;= 35); applicant is marked eligible.</t>
        </is>
      </c>
      <c r="D14" s="17" t="inlineStr">
        <is>
          <t>2026-10-14</t>
        </is>
      </c>
      <c r="E14" s="14" t="inlineStr">
        <is>
          <t>Pass</t>
        </is>
      </c>
      <c r="F14" s="16" t="inlineStr">
        <is>
          <t>Boundary value test; maximum age limit condition.</t>
        </is>
      </c>
    </row>
    <row r="15" ht="64" customHeight="1">
      <c r="A15" s="11" t="inlineStr">
        <is>
          <t>TC-M3-05</t>
        </is>
      </c>
      <c r="B15" s="12" t="inlineStr">
        <is>
          <t>Verify citizen with age below minimum or exceeding maximum allowed age is evaluated as 'not_eligible'.
Procedure:
1. Test Profile A with dynamic age 16 (underage).
2. Test Profile B with dynamic age 34 (overage) against scheme requiring 18 &lt;= Age &lt;= 29.</t>
        </is>
      </c>
      <c r="C15" s="12" t="inlineStr">
        <is>
          <t>Both profiles return status: 'not_eligible'; reasons explain 'Current age 16 is below minimum 18' and 'Current age 34 exceeds maximum 29' respectively.</t>
        </is>
      </c>
      <c r="D15" s="13" t="inlineStr">
        <is>
          <t>2026-10-14</t>
        </is>
      </c>
      <c r="E15" s="14" t="inlineStr">
        <is>
          <t>Pass</t>
        </is>
      </c>
      <c r="F15" s="12" t="inlineStr">
        <is>
          <t>Negative / boundary test; age range filter.</t>
        </is>
      </c>
    </row>
    <row r="16" ht="64" customHeight="1">
      <c r="A16" s="15" t="inlineStr">
        <is>
          <t>TC-M3-06</t>
        </is>
      </c>
      <c r="B16" s="16" t="inlineStr">
        <is>
          <t>Verify male citizen profile evaluated against a female-only scheme returns 'not_eligible'.
Procedure:
1. Citizen profile has Gender: 'Male'.
2. Evaluate eligibility against Mahila Samman / Sukanya Samriddhi Scheme.</t>
        </is>
      </c>
      <c r="C16" s="16" t="inlineStr">
        <is>
          <t>Result returns status: 'not_eligible'; reason specifies 'Scheme is reserved exclusively for female applicants.'</t>
        </is>
      </c>
      <c r="D16" s="17" t="inlineStr">
        <is>
          <t>2026-10-14</t>
        </is>
      </c>
      <c r="E16" s="14" t="inlineStr">
        <is>
          <t>Pass</t>
        </is>
      </c>
      <c r="F16" s="16" t="inlineStr">
        <is>
          <t>Demographic rule filter; gender criteria.</t>
        </is>
      </c>
    </row>
    <row r="17" ht="64" customHeight="1">
      <c r="A17" s="11" t="inlineStr">
        <is>
          <t>TC-M3-07</t>
        </is>
      </c>
      <c r="B17" s="12" t="inlineStr">
        <is>
          <t>Verify regional occupation synonyms ('Kisan', 'Shetkari', 'Krishi') correctly map to canonical 'Farmer' for PM-Kisan.
Procedure:
1. Evaluate profile with occupation: 'Shetkari' against PM-Kisan scheme.
2. Verify occupation matching logic in normalizeOccupation().</t>
        </is>
      </c>
      <c r="C17" s="12" t="inlineStr">
        <is>
          <t>normalizeOccupation('Shetkari') returns 'farmer'; occupation check succeeds; citizen evaluated as eligible.</t>
        </is>
      </c>
      <c r="D17" s="13" t="inlineStr">
        <is>
          <t>2026-10-14</t>
        </is>
      </c>
      <c r="E17" s="14" t="inlineStr">
        <is>
          <t>Pass</t>
        </is>
      </c>
      <c r="F17" s="12" t="inlineStr">
        <is>
          <t>Verified in normalizeOccupation() in eligibilityService.ts.</t>
        </is>
      </c>
    </row>
    <row r="18" ht="64" customHeight="1">
      <c r="A18" s="15" t="inlineStr">
        <is>
          <t>TC-M3-08</t>
        </is>
      </c>
      <c r="B18" s="16" t="inlineStr">
        <is>
          <t>Verify citizen residing in a different state is evaluated as ineligible for state-specific schemes.
Procedure:
1. Citizen profile has State: 'Gujarat'.
2. Evaluate against Maharashtra-only scheme (state_applicable: 'Maharashtra').</t>
        </is>
      </c>
      <c r="C18" s="16" t="inlineStr">
        <is>
          <t>Status returns 'not_eligible'; reason states 'Scheme is only available for residents of Maharashtra (applicant state: Gujarat).'</t>
        </is>
      </c>
      <c r="D18" s="17" t="inlineStr">
        <is>
          <t>2026-10-14</t>
        </is>
      </c>
      <c r="E18" s="14" t="inlineStr">
        <is>
          <t>Pass</t>
        </is>
      </c>
      <c r="F18" s="16" t="inlineStr">
        <is>
          <t>Regional jurisdiction boundary test.</t>
        </is>
      </c>
    </row>
    <row r="19" ht="64" customHeight="1">
      <c r="A19" s="11" t="inlineStr">
        <is>
          <t>TC-M3-09</t>
        </is>
      </c>
      <c r="B19" s="12" t="inlineStr">
        <is>
          <t>Verify successful upload of a valid Aadhaar Card PDF document to citizen's document vault.
Procedure:
1. Select Document Type: 'Aadhaar Card'.
2. Choose valid PDF file 'aadhaar_sample.pdf' (size 250 KB).
3. Click 'Upload Document'.</t>
        </is>
      </c>
      <c r="C19" s="12" t="inlineStr">
        <is>
          <t>Document uploaded to backend storage (uploads/documents/); document metadata record created in database; status updates to 'uploaded'; preview icon visible.</t>
        </is>
      </c>
      <c r="D19" s="13" t="inlineStr">
        <is>
          <t>2026-10-15</t>
        </is>
      </c>
      <c r="E19" s="14" t="inlineStr">
        <is>
          <t>Pass</t>
        </is>
      </c>
      <c r="F19" s="12" t="inlineStr">
        <is>
          <t>Verified in test_regression_suite.py Case 12.</t>
        </is>
      </c>
    </row>
    <row r="20" ht="64" customHeight="1">
      <c r="A20" s="15" t="inlineStr">
        <is>
          <t>TC-M3-10</t>
        </is>
      </c>
      <c r="B20" s="16" t="inlineStr">
        <is>
          <t>Verify system blocks upload of non-permitted file extensions (e.g., .exe, .bat, .txt).
Procedure:
1. Attempt to upload 'malicious_script.exe' or 'document.txt'.
2. Click Upload.</t>
        </is>
      </c>
      <c r="C20" s="16" t="inlineStr">
        <is>
          <t>Upload rejected immediately; client-side toast 'Invalid file type. Only PDF, JPG, and PNG files are accepted.' displayed; file input cleared.</t>
        </is>
      </c>
      <c r="D20" s="17" t="inlineStr"/>
      <c r="E20" s="18" t="inlineStr">
        <is>
          <t>Pending</t>
        </is>
      </c>
      <c r="F20" s="16" t="inlineStr">
        <is>
          <t>Security validation; MIME type enforcement.</t>
        </is>
      </c>
    </row>
    <row r="21" ht="64" customHeight="1">
      <c r="A21" s="11" t="inlineStr">
        <is>
          <t>TC-M3-11</t>
        </is>
      </c>
      <c r="B21" s="12" t="inlineStr">
        <is>
          <t>Verify system rejects files that exceed the maximum permissible size limit of 10 MB.
Procedure:
1. Select a high-resolution PDF 'heavy_scan.pdf' with file size 12.5 MB.
2. Attempt upload.</t>
        </is>
      </c>
      <c r="C21" s="12" t="inlineStr">
        <is>
          <t>File selection intercepted; error displayed: 'File size exceeds 10 MB limit. Please compress your document before uploading.'; upload aborted.</t>
        </is>
      </c>
      <c r="D21" s="13" t="inlineStr"/>
      <c r="E21" s="18" t="inlineStr">
        <is>
          <t>Pending</t>
        </is>
      </c>
      <c r="F21" s="12" t="inlineStr">
        <is>
          <t>Boundary value test; upload file size ceiling.</t>
        </is>
      </c>
    </row>
    <row r="22" ht="64" customHeight="1">
      <c r="A22" s="15" t="inlineStr">
        <is>
          <t>TC-M3-12</t>
        </is>
      </c>
      <c r="B22" s="16" t="inlineStr">
        <is>
          <t>Verify automated OCR comparison marks document as 'verified' when extracted Name and DOB match citizen profile.
Procedure:
1. Upload synthetic Aadhaar PDF containing text 'Name: Rahul Sharma', 'DOB: 15/08/2002'.
2. Trigger OCR extraction via /api/ocr/extract-pdf.
3. Inspect verification object in response.</t>
        </is>
      </c>
      <c r="C22" s="16" t="inlineStr">
        <is>
          <t>status: 'verified', name_match: true, dob_match: true; UI displays green verified badge with checkmark.</t>
        </is>
      </c>
      <c r="D22" s="17" t="inlineStr">
        <is>
          <t>2026-10-15</t>
        </is>
      </c>
      <c r="E22" s="14" t="inlineStr">
        <is>
          <t>Pass</t>
        </is>
      </c>
      <c r="F22" s="16" t="inlineStr">
        <is>
          <t>Verified in test_regression_suite.py Case 11 Synthetic PDF 1.</t>
        </is>
      </c>
    </row>
    <row r="23" ht="64" customHeight="1">
      <c r="A23" s="11" t="inlineStr">
        <is>
          <t>TC-M3-13</t>
        </is>
      </c>
      <c r="B23" s="12" t="inlineStr">
        <is>
          <t>Verify document is flagged as 'needs_review' when OCR extracted name differs from citizen profile name.
Procedure:
1. Upload Aadhaar PDF containing text for 'Rahul Sharma' while citizen profile is 'Sunil Verma'.
2. Trigger OCR verification.</t>
        </is>
      </c>
      <c r="C23" s="12" t="inlineStr">
        <is>
          <t>status: 'needs_review', name_match: false; discrepancy alert shown: 'Name on document (Rahul Sharma) does not match profile name (Sunil Verma).'</t>
        </is>
      </c>
      <c r="D23" s="13" t="inlineStr">
        <is>
          <t>2026-10-15</t>
        </is>
      </c>
      <c r="E23" s="14" t="inlineStr">
        <is>
          <t>Pass</t>
        </is>
      </c>
      <c r="F23" s="12" t="inlineStr">
        <is>
          <t>Verified in test_regression_suite.py Case 11 Synthetic PDF 2.</t>
        </is>
      </c>
    </row>
    <row r="24" ht="64" customHeight="1">
      <c r="A24" s="15" t="inlineStr">
        <is>
          <t>TC-M3-14</t>
        </is>
      </c>
      <c r="B24" s="16" t="inlineStr">
        <is>
          <t>Verify Aadhaar cards containing only 'Year of Birth' are flagged with year_only: true and needs_review.
Procedure:
1. Upload synthetic Aadhaar containing 'Year of Birth: 2002' (missing day and month).
2. Trigger OCR verification.</t>
        </is>
      </c>
      <c r="C24" s="16" t="inlineStr">
        <is>
          <t>status: 'needs_review', year_only: true, dob_match: false; detail warning explains 'Document displays birth year only (2002); exact day and month require manual verification.'</t>
        </is>
      </c>
      <c r="D24" s="17" t="inlineStr">
        <is>
          <t>2026-10-15</t>
        </is>
      </c>
      <c r="E24" s="14" t="inlineStr">
        <is>
          <t>Pass</t>
        </is>
      </c>
      <c r="F24" s="16" t="inlineStr">
        <is>
          <t>Verified in test_regression_suite.py Case 11 Synthetic PDF 3.</t>
        </is>
      </c>
    </row>
    <row r="25" ht="64" customHeight="1">
      <c r="A25" s="11" t="inlineStr">
        <is>
          <t>TC-M3-15</t>
        </is>
      </c>
      <c r="B25" s="12" t="inlineStr">
        <is>
          <t>Verify blank or heavily degraded document images are safely handled with status: unreadable.
Procedure:
1. Upload blank 1x1 pixel image or corrupt document.
2. Trigger OCR extraction.</t>
        </is>
      </c>
      <c r="C25" s="12" t="inlineStr">
        <is>
          <t>OCR returns status: 'unreadable' with error message 'Could not extract legible text from document. Please upload a clearer scan or photo.'; does not throw unhandled exception.</t>
        </is>
      </c>
      <c r="D25" s="13" t="inlineStr"/>
      <c r="E25" s="18" t="inlineStr">
        <is>
          <t>Pending</t>
        </is>
      </c>
      <c r="F25" s="12" t="inlineStr">
        <is>
          <t>Negative / robustness test; degraded image handling.</t>
        </is>
      </c>
    </row>
    <row r="26" ht="64" customHeight="1">
      <c r="A26" s="15" t="inlineStr">
        <is>
          <t>TC-M3-16</t>
        </is>
      </c>
      <c r="B26" s="16" t="inlineStr">
        <is>
          <t>Verify launching application wizard for an eligible scheme automatically prefills all confirmed profile fields into official form.
Procedure:
1. Navigate to /dashboard/applications.
2. Select PM-Kisan scheme and click 'Apply Now'.
3. Navigate through Wizard Step 1 (Profile) and Step 5 (Official Form).</t>
        </is>
      </c>
      <c r="C26" s="16" t="inlineStr">
        <is>
          <t>Wizard form inputs (Full Name, DOB, Gender, State, District, Mobile, Category) are pre-filled with confirmed profile data; calculated dynamic age displayed.</t>
        </is>
      </c>
      <c r="D26" s="17" t="inlineStr">
        <is>
          <t>2026-10-14</t>
        </is>
      </c>
      <c r="E26" s="14" t="inlineStr">
        <is>
          <t>Pass</t>
        </is>
      </c>
      <c r="F26" s="16" t="inlineStr">
        <is>
          <t>Verified in ApplicationsPage.tsx wizard pre-fill.</t>
        </is>
      </c>
    </row>
    <row r="27" ht="64" customHeight="1">
      <c r="A27" s="11" t="inlineStr">
        <is>
          <t>TC-M3-17</t>
        </is>
      </c>
      <c r="B27" s="12" t="inlineStr">
        <is>
          <t>Verify client-side PDF generator produces formatted official application summary document.
Procedure:
1. On Review step, click 'Generate Application PDF'.
2. Check browser download event and inspect generated PDF file.</t>
        </is>
      </c>
      <c r="C27" s="12" t="inlineStr">
        <is>
          <t>PDF generated using jspdf; contains VoiceBridge AI header, Scheme Title, Applicant Details (8 fields + dynamic age), required documents checklist, and timestamp.</t>
        </is>
      </c>
      <c r="D27" s="13" t="inlineStr">
        <is>
          <t>2026-10-14</t>
        </is>
      </c>
      <c r="E27" s="14" t="inlineStr">
        <is>
          <t>Pass</t>
        </is>
      </c>
      <c r="F27" s="12" t="inlineStr">
        <is>
          <t>Verified in pdfService.ts client-side PDF generator.</t>
        </is>
      </c>
    </row>
    <row r="28" ht="64" customHeight="1">
      <c r="A28" s="15" t="inlineStr">
        <is>
          <t>TC-M3-18</t>
        </is>
      </c>
      <c r="B28" s="16" t="inlineStr">
        <is>
          <t>Verify generated application PDF and application UI prominently feature official portal submission disclaimer and external portal link.
Procedure:
1. Inspect footer of generated PDF.
2. Inspect UI banner on /dashboard/applications.</t>
        </is>
      </c>
      <c r="C28" s="16" t="inlineStr">
        <is>
          <t>PDF and UI explicitly state: 'VoiceBridge AI provides guidance and pre-filled application forms. Final submission must be completed on the official government portal: https://pmkisan.gov.in/'; official link is clickable.</t>
        </is>
      </c>
      <c r="D28" s="17" t="inlineStr">
        <is>
          <t>2026-10-14</t>
        </is>
      </c>
      <c r="E28" s="14" t="inlineStr">
        <is>
          <t>Pass</t>
        </is>
      </c>
      <c r="F28" s="16" t="inlineStr">
        <is>
          <t>Verified in pdfService.ts compliance disclaimers.</t>
        </is>
      </c>
    </row>
    <row r="29" ht="64" customHeight="1">
      <c r="A29" s="11" t="inlineStr">
        <is>
          <t>TC-M3-19</t>
        </is>
      </c>
      <c r="B29" s="12" t="inlineStr">
        <is>
          <t>Verify generating application persists a record with status: submitted in Supabase applications table.
Procedure:
1. Complete application generation wizard.
2. Query Supabase applications table for user_id and scheme_id.</t>
        </is>
      </c>
      <c r="C29" s="12" t="inlineStr">
        <is>
          <t>Supabase applications table contains new record with user ID, scheme ID, serialized form data, and creation timestamp; returns HTTP 201.</t>
        </is>
      </c>
      <c r="D29" s="13" t="inlineStr">
        <is>
          <t>2026-10-14</t>
        </is>
      </c>
      <c r="E29" s="14" t="inlineStr">
        <is>
          <t>Pass</t>
        </is>
      </c>
      <c r="F29" s="12" t="inlineStr">
        <is>
          <t>Verified in applicationService.ts createApplication.</t>
        </is>
      </c>
    </row>
    <row r="30" ht="64" customHeight="1">
      <c r="A30" s="15" t="inlineStr">
        <is>
          <t>TC-M3-20</t>
        </is>
      </c>
      <c r="B30" s="16" t="inlineStr">
        <is>
          <t>Verify citizen's Applications dashboard displays updated list of submitted applications with real-time status badges.
Procedure:
1. Navigate to /dashboard/applications.
2. Inspect 'My Applications' summary table.</t>
        </is>
      </c>
      <c r="C30" s="16" t="inlineStr">
        <is>
          <t>Dashboard displays card/table row with Scheme Name, Submission Date, 'Submitted' status badge (blue/green), and 'Download PDF' action button.</t>
        </is>
      </c>
      <c r="D30" s="17" t="inlineStr"/>
      <c r="E30" s="18" t="inlineStr">
        <is>
          <t>Pending</t>
        </is>
      </c>
      <c r="F30" s="16" t="inlineStr">
        <is>
          <t>Pending end-to-end dashboard integration test.</t>
        </is>
      </c>
    </row>
  </sheetData>
  <autoFilter ref="A10:F30"/>
  <mergeCells count="4">
    <mergeCell ref="B4:F4"/>
    <mergeCell ref="A1:F1"/>
    <mergeCell ref="B3:F3"/>
    <mergeCell ref="B5:F5"/>
  </mergeCells>
  <dataValidations count="1">
    <dataValidation sqref="E11:E30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4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 ht="32" customHeight="1">
      <c r="B1" s="20" t="inlineStr">
        <is>
          <t>TEST REPORT</t>
        </is>
      </c>
    </row>
    <row r="3">
      <c r="B3" s="21" t="inlineStr">
        <is>
          <t>Project Name:</t>
        </is>
      </c>
      <c r="C3" s="22" t="inlineStr">
        <is>
          <t>VoiceBridge AI - Multilingual Citizen Welfare Scheme Portal</t>
        </is>
      </c>
    </row>
    <row r="4">
      <c r="B4" s="21" t="inlineStr">
        <is>
          <t>Date:</t>
        </is>
      </c>
      <c r="C4" s="22" t="inlineStr">
        <is>
          <t>2026-10-22</t>
        </is>
      </c>
    </row>
    <row r="5">
      <c r="B5" s="21" t="inlineStr">
        <is>
          <t>Note:</t>
        </is>
      </c>
      <c r="C5" s="22" t="inlineStr">
        <is>
          <t>Comprehensive verification across dynamic age calculation, multilingual ASR &amp; NER models, Supabase integration, and application PDF workflow.</t>
        </is>
      </c>
    </row>
    <row r="7" ht="26" customHeight="1">
      <c r="B7" s="10" t="inlineStr">
        <is>
          <t>No</t>
        </is>
      </c>
      <c r="C7" s="10" t="inlineStr">
        <is>
          <t>Module Code / Module Name</t>
        </is>
      </c>
      <c r="D7" s="10" t="inlineStr">
        <is>
          <t>Pass</t>
        </is>
      </c>
      <c r="E7" s="10" t="inlineStr">
        <is>
          <t>Fail</t>
        </is>
      </c>
      <c r="F7" s="10" t="inlineStr">
        <is>
          <t>Pending</t>
        </is>
      </c>
      <c r="G7" s="10" t="inlineStr">
        <is>
          <t>Total Test Cases</t>
        </is>
      </c>
    </row>
    <row r="8" ht="22" customHeight="1">
      <c r="B8" s="23" t="n">
        <v>1</v>
      </c>
      <c r="C8" s="12">
        <f>'Module 1'!B4</f>
        <v/>
      </c>
      <c r="D8" s="24">
        <f>'Module 1'!B6</f>
        <v/>
      </c>
      <c r="E8" s="25">
        <f>'Module 1'!B7</f>
        <v/>
      </c>
      <c r="F8" s="26">
        <f>'Module 1'!D6</f>
        <v/>
      </c>
      <c r="G8" s="27">
        <f>'Module 1'!D7</f>
        <v/>
      </c>
    </row>
    <row r="9" ht="22" customHeight="1">
      <c r="B9" s="28" t="n">
        <v>2</v>
      </c>
      <c r="C9" s="16">
        <f>'Module 2'!B4</f>
        <v/>
      </c>
      <c r="D9" s="29">
        <f>'Module 2'!B6</f>
        <v/>
      </c>
      <c r="E9" s="30">
        <f>'Module 2'!B7</f>
        <v/>
      </c>
      <c r="F9" s="31">
        <f>'Module 2'!D6</f>
        <v/>
      </c>
      <c r="G9" s="32">
        <f>'Module 2'!D7</f>
        <v/>
      </c>
    </row>
    <row r="10" ht="22" customHeight="1">
      <c r="B10" s="23" t="n">
        <v>3</v>
      </c>
      <c r="C10" s="12">
        <f>'Module 3'!B4</f>
        <v/>
      </c>
      <c r="D10" s="24">
        <f>'Module 3'!B6</f>
        <v/>
      </c>
      <c r="E10" s="25">
        <f>'Module 3'!B7</f>
        <v/>
      </c>
      <c r="F10" s="26">
        <f>'Module 3'!D6</f>
        <v/>
      </c>
      <c r="G10" s="27">
        <f>'Module 3'!D7</f>
        <v/>
      </c>
    </row>
    <row r="11" ht="24" customHeight="1">
      <c r="B11" s="33" t="n"/>
      <c r="C11" s="10" t="inlineStr">
        <is>
          <t>Sub total</t>
        </is>
      </c>
      <c r="D11" s="34">
        <f>SUM(D8:D10)</f>
        <v/>
      </c>
      <c r="E11" s="35">
        <f>SUM(E8:E10)</f>
        <v/>
      </c>
      <c r="F11" s="36">
        <f>SUM(F8:F10)</f>
        <v/>
      </c>
      <c r="G11" s="37">
        <f>SUM(G8:G10)</f>
        <v/>
      </c>
    </row>
    <row r="13" ht="20" customHeight="1">
      <c r="B13" s="38" t="n"/>
      <c r="C13" s="39" t="inlineStr">
        <is>
          <t>Test coverage (%)</t>
        </is>
      </c>
      <c r="D13" s="38" t="n"/>
      <c r="E13" s="40">
        <f>IF(G11&gt;0, (D11+E11)*100/G11, 0)</f>
        <v/>
      </c>
      <c r="F13" s="41" t="inlineStr">
        <is>
          <t>%</t>
        </is>
      </c>
      <c r="G13" s="38" t="n"/>
    </row>
    <row r="14" ht="20" customHeight="1">
      <c r="B14" s="38" t="n"/>
      <c r="C14" s="39" t="inlineStr">
        <is>
          <t>Test successful coverage (%)</t>
        </is>
      </c>
      <c r="D14" s="38" t="n"/>
      <c r="E14" s="40">
        <f>IF(G11&gt;0, D11*100/G11, 0)</f>
        <v/>
      </c>
      <c r="F14" s="41" t="inlineStr">
        <is>
          <t>%</t>
        </is>
      </c>
      <c r="G14" s="38" t="n"/>
    </row>
    <row r="15" ht="20" customHeight="1">
      <c r="B15" s="38" t="n"/>
      <c r="C15" s="12" t="inlineStr">
        <is>
          <t>Total test cases</t>
        </is>
      </c>
      <c r="D15" s="38" t="n"/>
      <c r="E15" s="42">
        <f>G11</f>
        <v/>
      </c>
      <c r="F15" s="38" t="inlineStr"/>
      <c r="G15" s="38" t="n"/>
    </row>
    <row r="16" ht="20" customHeight="1">
      <c r="B16" s="38" t="n"/>
      <c r="C16" s="12" t="inlineStr">
        <is>
          <t>Passed test cases</t>
        </is>
      </c>
      <c r="D16" s="38" t="n"/>
      <c r="E16" s="42">
        <f>D11</f>
        <v/>
      </c>
      <c r="F16" s="38" t="inlineStr"/>
      <c r="G16" s="38" t="n"/>
    </row>
    <row r="17" ht="20" customHeight="1">
      <c r="B17" s="38" t="n"/>
      <c r="C17" s="12" t="inlineStr">
        <is>
          <t>Failed test cases</t>
        </is>
      </c>
      <c r="D17" s="38" t="n"/>
      <c r="E17" s="42">
        <f>E11</f>
        <v/>
      </c>
      <c r="F17" s="38" t="inlineStr"/>
      <c r="G17" s="38" t="n"/>
    </row>
    <row r="18" ht="20" customHeight="1">
      <c r="B18" s="38" t="n"/>
      <c r="C18" s="12" t="inlineStr">
        <is>
          <t>Pending test cases</t>
        </is>
      </c>
      <c r="D18" s="38" t="n"/>
      <c r="E18" s="42">
        <f>F11</f>
        <v/>
      </c>
      <c r="F18" s="38" t="inlineStr"/>
      <c r="G18" s="38" t="n"/>
    </row>
    <row r="19" ht="20" customHeight="1">
      <c r="B19" s="38" t="n"/>
      <c r="C19" s="39" t="inlineStr">
        <is>
          <t>Test execution percentage</t>
        </is>
      </c>
      <c r="D19" s="38" t="n"/>
      <c r="E19" s="43">
        <f>IF(G11&gt;0, (D11+E11)/G11, 0)</f>
        <v/>
      </c>
      <c r="F19" s="38" t="inlineStr"/>
      <c r="G19" s="38" t="n"/>
    </row>
    <row r="20" ht="20" customHeight="1">
      <c r="B20" s="38" t="n"/>
      <c r="C20" s="39" t="inlineStr">
        <is>
          <t>Test pass percentage among executed cases</t>
        </is>
      </c>
      <c r="D20" s="38" t="n"/>
      <c r="E20" s="43">
        <f>IF((D11+E11)&gt;0, D11/(D11+E11), 0)</f>
        <v/>
      </c>
      <c r="F20" s="38" t="inlineStr"/>
      <c r="G20" s="3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2026-10-22T17:56:17Z</dcterms:created>
  <dcterms:modified xmlns:dcterms="http://purl.org/dc/terms/" xmlns:xsi="http://www.w3.org/2001/XMLSchema-instance" xsi:type="dcterms:W3CDTF">2026-10-22T17:56:18Z</dcterms:modified>
</cp:coreProperties>
</file>